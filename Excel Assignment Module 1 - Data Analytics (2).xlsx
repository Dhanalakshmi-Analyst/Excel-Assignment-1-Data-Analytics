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Assignment - 1" sheetId="1" r:id="rId5"/>
  </sheets>
  <definedNames/>
  <calcPr/>
</workbook>
</file>

<file path=xl/sharedStrings.xml><?xml version="1.0" encoding="utf-8"?>
<sst xmlns="http://schemas.openxmlformats.org/spreadsheetml/2006/main" count="178" uniqueCount="123">
  <si>
    <t>Product ID</t>
  </si>
  <si>
    <t>Product Name</t>
  </si>
  <si>
    <t>Brand Name</t>
  </si>
  <si>
    <t>Price ($)</t>
  </si>
  <si>
    <t>Quantity</t>
  </si>
  <si>
    <t>Category</t>
  </si>
  <si>
    <t>Price Range</t>
  </si>
  <si>
    <t xml:space="preserve">Day </t>
  </si>
  <si>
    <t>Country Code</t>
  </si>
  <si>
    <t>Month</t>
  </si>
  <si>
    <t>28-JAN-US</t>
  </si>
  <si>
    <t>Laptop</t>
  </si>
  <si>
    <t>Dell</t>
  </si>
  <si>
    <t>Electronics</t>
  </si>
  <si>
    <t xml:space="preserve">Dataset Summary 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</si>
  <si>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</si>
  <si>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</si>
  <si>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</si>
  <si>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</si>
  <si>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</si>
  <si>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</si>
  <si>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</si>
  <si>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</si>
  <si>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</si>
  <si>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</si>
  <si>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</si>
  <si>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Task 1 - Basic Calculations (SUM, COUNT, AVERAGE)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</si>
  <si>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</si>
  <si>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</si>
  <si>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</si>
  <si>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</si>
  <si>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</si>
  <si>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</si>
  <si>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</si>
  <si>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</si>
  <si>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</si>
  <si>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</si>
  <si>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CALCULATION</t>
  </si>
  <si>
    <t>EXCEL FORMULA</t>
  </si>
  <si>
    <t>ANSWER</t>
  </si>
  <si>
    <t>23-AUG-UK</t>
  </si>
  <si>
    <t>Blender</t>
  </si>
  <si>
    <t>Ninja</t>
  </si>
  <si>
    <t>05-SEP-UK</t>
  </si>
  <si>
    <t>Tablet</t>
  </si>
  <si>
    <t>Apple</t>
  </si>
  <si>
    <t>Total Price of all products</t>
  </si>
  <si>
    <t>(=sum(D2:D35))</t>
  </si>
  <si>
    <t>14-OCT-UK</t>
  </si>
  <si>
    <t>Hiking Boots</t>
  </si>
  <si>
    <t>Timberland</t>
  </si>
  <si>
    <t>Count of Products</t>
  </si>
  <si>
    <t>(=counta(B2:B35))</t>
  </si>
  <si>
    <t>17-JUN-IN</t>
  </si>
  <si>
    <t>HP</t>
  </si>
  <si>
    <t>Average Price</t>
  </si>
  <si>
    <t>(=average(D2:D35))</t>
  </si>
  <si>
    <t>25-NOV-AU</t>
  </si>
  <si>
    <t>08-DEC-DE</t>
  </si>
  <si>
    <t>Nespresso</t>
  </si>
  <si>
    <t>Note: I also noticed that 2 products are repeated in the dataset (HP Laptop 
and Samsonite Laptop Bag appear twice). So there are actually 
32 unique products.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</si>
  <si>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</si>
  <si>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</si>
  <si>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</si>
  <si>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</si>
  <si>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</si>
  <si>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</si>
  <si>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</si>
  <si>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</si>
  <si>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</si>
  <si>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</si>
  <si>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</si>
  <si>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</si>
  <si>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</si>
  <si>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Task 2 – Minimum and Maximum Price (MIN, MAX)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</si>
  <si>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</si>
  <si>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</si>
  <si>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</si>
  <si>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</si>
  <si>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</si>
  <si>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</si>
  <si>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</si>
  <si>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</si>
  <si>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</si>
  <si>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</si>
  <si>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</si>
  <si>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</si>
  <si>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Min Price</t>
  </si>
  <si>
    <t>(=min(D2:D35))</t>
  </si>
  <si>
    <t>19-JUL-BR</t>
  </si>
  <si>
    <t>Fitness Tracker</t>
  </si>
  <si>
    <t>Xiaomi</t>
  </si>
  <si>
    <t>Max Price</t>
  </si>
  <si>
    <t>(=max(D2:D35))</t>
  </si>
  <si>
    <t>29-SEP-CA</t>
  </si>
  <si>
    <t>Google</t>
  </si>
  <si>
    <t>Task 3– IF Function (Price Range)</t>
  </si>
  <si>
    <t>03-JUN-CA</t>
  </si>
  <si>
    <t>Ray-Ban</t>
  </si>
  <si>
    <t>11-JUL-CA</t>
  </si>
  <si>
    <t>Vitamix</t>
  </si>
  <si>
    <t>(=if(D2&gt;=500,"High Price","Standard Price"))</t>
  </si>
  <si>
    <t>07-MAR-CA</t>
  </si>
  <si>
    <t>Dress</t>
  </si>
  <si>
    <t>Zara</t>
  </si>
  <si>
    <t>13-APR-CA</t>
  </si>
  <si>
    <t>Toaster</t>
  </si>
  <si>
    <t>Hamilton</t>
  </si>
  <si>
    <t>Task 4 – Conditional Functions (SUMIF, COUNTIF)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</si>
  <si>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</si>
  <si>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</si>
  <si>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</si>
  <si>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</si>
  <si>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</si>
  <si>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</si>
  <si>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</si>
  <si>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</si>
  <si>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SUMIF – Total Price of Electronics</t>
  </si>
  <si>
    <t>(=sumif(F2:F35,"Electronics",D2:D35)</t>
  </si>
  <si>
    <t>COUNTIF – Products with Price &lt; $100</t>
  </si>
  <si>
    <t>(=countif(D2:D35,"&lt;100"))</t>
  </si>
  <si>
    <t>Task 5 – Text Functions (LEFT, RIGHT, MID)</t>
  </si>
  <si>
    <t>Column H: Day =LEFT(A2,2)  
Column I: Country Code =RIGHT(A2,2) 
Column J: Month =MID(A2,4,3)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</si>
</sst>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Georgia"/>
    </font>
    <font>
      <b/>
      <sz val="10.0"/>
      <color rgb="FFFFFFFF"/>
      <name val="Georgia"/>
    </font>
    <font>
      <color theme="1"/>
      <name val="Georgia"/>
    </font>
    <font>
      <color rgb="FF000000"/>
      <name val="Georgia"/>
    </font>
    <font>
      <b/>
      <sz val="14.0"/>
      <color rgb="FFFFFFFF"/>
      <name val="Georgia"/>
    </font>
    <font>
      <b/>
      <sz val="12.0"/>
      <color rgb="FFFFFFFF"/>
      <name val="Georgia"/>
    </font>
    <font/>
    <font>
      <sz val="11.0"/>
      <color theme="1"/>
      <name val="Georgia"/>
    </font>
    <font>
      <b/>
      <sz val="10.0"/>
      <color theme="1"/>
      <name val="Georgia"/>
    </font>
    <font>
      <sz val="11.0"/>
      <color rgb="FF000000"/>
      <name val="Georgia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38761D"/>
        <bgColor rgb="FF38761D"/>
      </patternFill>
    </fill>
    <fill>
      <patternFill patternType="solid">
        <fgColor rgb="FF3D85C6"/>
        <bgColor rgb="FF3D85C6"/>
      </patternFill>
    </fill>
    <fill>
      <patternFill patternType="solid">
        <fgColor rgb="FFE0F7FA"/>
        <bgColor rgb="FFE0F7FA"/>
      </patternFill>
    </fill>
    <fill>
      <patternFill patternType="solid">
        <fgColor rgb="FF9FC5E8"/>
        <bgColor rgb="FF9FC5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0" fillId="4" fontId="5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left" readingOrder="0"/>
    </xf>
    <xf borderId="2" fillId="4" fontId="6" numFmtId="0" xfId="0" applyAlignment="1" applyBorder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1" fillId="6" fontId="8" numFmtId="0" xfId="0" applyAlignment="1" applyBorder="1" applyFill="1" applyFont="1">
      <alignment horizontal="left" readingOrder="0"/>
    </xf>
    <xf borderId="1" fillId="0" fontId="8" numFmtId="0" xfId="0" applyBorder="1" applyFont="1"/>
    <xf borderId="1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vertical="center"/>
    </xf>
    <xf borderId="1" fillId="0" fontId="8" numFmtId="0" xfId="0" applyAlignment="1" applyBorder="1" applyFont="1">
      <alignment readingOrder="0"/>
    </xf>
    <xf borderId="8" fillId="0" fontId="8" numFmtId="0" xfId="0" applyAlignment="1" applyBorder="1" applyFont="1">
      <alignment horizontal="center" readingOrder="0"/>
    </xf>
    <xf borderId="9" fillId="0" fontId="7" numFmtId="0" xfId="0" applyBorder="1" applyFont="1"/>
    <xf borderId="10" fillId="0" fontId="7" numFmtId="0" xfId="0" applyBorder="1" applyFont="1"/>
    <xf borderId="1" fillId="0" fontId="8" numFmtId="0" xfId="0" applyAlignment="1" applyBorder="1" applyFont="1">
      <alignment horizontal="left" readingOrder="0" vertical="bottom"/>
    </xf>
    <xf borderId="2" fillId="0" fontId="10" numFmtId="0" xfId="0" applyAlignment="1" applyBorder="1" applyFont="1">
      <alignment readingOrder="0" vertical="center"/>
    </xf>
    <xf borderId="11" fillId="0" fontId="7" numFmtId="0" xfId="0" applyBorder="1" applyFont="1"/>
    <xf borderId="12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3.5"/>
    <col customWidth="1" min="7" max="7" width="14.25"/>
    <col customWidth="1" min="9" max="9" width="16.0"/>
    <col customWidth="1" min="12" max="12" width="34.13"/>
    <col customWidth="1" min="13" max="13" width="26.0"/>
    <col customWidth="1" min="14" max="14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4" t="s">
        <v>11</v>
      </c>
      <c r="C2" s="4" t="s">
        <v>12</v>
      </c>
      <c r="D2" s="4">
        <v>1000.0</v>
      </c>
      <c r="E2" s="4">
        <v>30.0</v>
      </c>
      <c r="F2" s="4" t="s">
        <v>13</v>
      </c>
      <c r="G2" s="5" t="str">
        <f t="shared" ref="G2:G35" si="1">if(D2&gt;=500,"High Price","Standard Price")</f>
        <v>High Price</v>
      </c>
      <c r="H2" s="6" t="str">
        <f t="shared" ref="H2:H35" si="2">left(A2,2)</f>
        <v>28</v>
      </c>
      <c r="I2" s="6" t="str">
        <f t="shared" ref="I2:I35" si="3">right(A2,2)</f>
        <v>US</v>
      </c>
      <c r="J2" s="6" t="str">
        <f t="shared" ref="J2:J35" si="4">mid(A2,4,3)</f>
        <v>JAN</v>
      </c>
      <c r="K2" s="3"/>
      <c r="L2" s="7" t="s">
        <v>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15</v>
      </c>
      <c r="B3" s="8" t="s">
        <v>16</v>
      </c>
      <c r="C3" s="8" t="s">
        <v>17</v>
      </c>
      <c r="D3" s="8">
        <v>80.0</v>
      </c>
      <c r="E3" s="8">
        <v>15.0</v>
      </c>
      <c r="F3" s="8" t="s">
        <v>18</v>
      </c>
      <c r="G3" s="5" t="str">
        <f t="shared" si="1"/>
        <v>Standard Price</v>
      </c>
      <c r="H3" s="6" t="str">
        <f t="shared" si="2"/>
        <v>15</v>
      </c>
      <c r="I3" s="6" t="str">
        <f t="shared" si="3"/>
        <v>US</v>
      </c>
      <c r="J3" s="6" t="str">
        <f t="shared" si="4"/>
        <v>FEB</v>
      </c>
      <c r="K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19</v>
      </c>
      <c r="B4" s="4" t="s">
        <v>20</v>
      </c>
      <c r="C4" s="4" t="s">
        <v>21</v>
      </c>
      <c r="D4" s="4">
        <v>130.0</v>
      </c>
      <c r="E4" s="4">
        <v>40.0</v>
      </c>
      <c r="F4" s="4" t="s">
        <v>22</v>
      </c>
      <c r="G4" s="5" t="str">
        <f t="shared" si="1"/>
        <v>Standard Price</v>
      </c>
      <c r="H4" s="6" t="str">
        <f t="shared" si="2"/>
        <v>03</v>
      </c>
      <c r="I4" s="6" t="str">
        <f t="shared" si="3"/>
        <v>US</v>
      </c>
      <c r="J4" s="6" t="str">
        <f t="shared" si="4"/>
        <v>MAR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23</v>
      </c>
      <c r="B5" s="8" t="s">
        <v>24</v>
      </c>
      <c r="C5" s="8" t="s">
        <v>25</v>
      </c>
      <c r="D5" s="8">
        <v>900.0</v>
      </c>
      <c r="E5" s="8">
        <v>25.0</v>
      </c>
      <c r="F5" s="8" t="s">
        <v>13</v>
      </c>
      <c r="G5" s="5" t="str">
        <f t="shared" si="1"/>
        <v>High Price</v>
      </c>
      <c r="H5" s="6" t="str">
        <f t="shared" si="2"/>
        <v>11</v>
      </c>
      <c r="I5" s="6" t="str">
        <f t="shared" si="3"/>
        <v>US</v>
      </c>
      <c r="J5" s="6" t="str">
        <f t="shared" si="4"/>
        <v>APR</v>
      </c>
      <c r="K5" s="3"/>
      <c r="L5" s="9" t="s">
        <v>26</v>
      </c>
      <c r="M5" s="10"/>
      <c r="N5" s="1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27</v>
      </c>
      <c r="B6" s="4" t="s">
        <v>28</v>
      </c>
      <c r="C6" s="4" t="s">
        <v>29</v>
      </c>
      <c r="D6" s="4">
        <v>70.0</v>
      </c>
      <c r="E6" s="4">
        <v>20.0</v>
      </c>
      <c r="F6" s="4" t="s">
        <v>30</v>
      </c>
      <c r="G6" s="5" t="str">
        <f t="shared" si="1"/>
        <v>Standard Price</v>
      </c>
      <c r="H6" s="6" t="str">
        <f t="shared" si="2"/>
        <v>22</v>
      </c>
      <c r="I6" s="6" t="str">
        <f t="shared" si="3"/>
        <v>US</v>
      </c>
      <c r="J6" s="6" t="str">
        <f t="shared" si="4"/>
        <v>MAY</v>
      </c>
      <c r="K6" s="3"/>
      <c r="L6" s="12"/>
      <c r="M6" s="13"/>
      <c r="N6" s="1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31</v>
      </c>
      <c r="B7" s="8" t="s">
        <v>32</v>
      </c>
      <c r="C7" s="8" t="s">
        <v>33</v>
      </c>
      <c r="D7" s="8">
        <v>200.0</v>
      </c>
      <c r="E7" s="8">
        <v>45.0</v>
      </c>
      <c r="F7" s="8" t="s">
        <v>13</v>
      </c>
      <c r="G7" s="5" t="str">
        <f t="shared" si="1"/>
        <v>Standard Price</v>
      </c>
      <c r="H7" s="6" t="str">
        <f t="shared" si="2"/>
        <v>07</v>
      </c>
      <c r="I7" s="6" t="str">
        <f t="shared" si="3"/>
        <v>UK</v>
      </c>
      <c r="J7" s="6" t="str">
        <f t="shared" si="4"/>
        <v>JUN</v>
      </c>
      <c r="K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34</v>
      </c>
      <c r="B8" s="4" t="s">
        <v>35</v>
      </c>
      <c r="C8" s="4" t="s">
        <v>36</v>
      </c>
      <c r="D8" s="4">
        <v>30.0</v>
      </c>
      <c r="E8" s="4">
        <v>5.0</v>
      </c>
      <c r="F8" s="4" t="s">
        <v>18</v>
      </c>
      <c r="G8" s="5" t="str">
        <f t="shared" si="1"/>
        <v>Standard Price</v>
      </c>
      <c r="H8" s="6" t="str">
        <f t="shared" si="2"/>
        <v>19</v>
      </c>
      <c r="I8" s="6" t="str">
        <f t="shared" si="3"/>
        <v>UK</v>
      </c>
      <c r="J8" s="6" t="str">
        <f t="shared" si="4"/>
        <v>JUL</v>
      </c>
      <c r="K8" s="3"/>
      <c r="L8" s="15" t="s">
        <v>37</v>
      </c>
      <c r="M8" s="15" t="s">
        <v>38</v>
      </c>
      <c r="N8" s="15" t="s">
        <v>39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40</v>
      </c>
      <c r="B9" s="8" t="s">
        <v>41</v>
      </c>
      <c r="C9" s="8" t="s">
        <v>42</v>
      </c>
      <c r="D9" s="8">
        <v>90.0</v>
      </c>
      <c r="E9" s="8">
        <v>35.0</v>
      </c>
      <c r="F9" s="8" t="s">
        <v>22</v>
      </c>
      <c r="G9" s="5" t="str">
        <f t="shared" si="1"/>
        <v>Standard Price</v>
      </c>
      <c r="H9" s="6" t="str">
        <f t="shared" si="2"/>
        <v>23</v>
      </c>
      <c r="I9" s="6" t="str">
        <f t="shared" si="3"/>
        <v>UK</v>
      </c>
      <c r="J9" s="6" t="str">
        <f t="shared" si="4"/>
        <v>AUG</v>
      </c>
      <c r="K9" s="3"/>
      <c r="L9" s="16"/>
      <c r="M9" s="16"/>
      <c r="N9" s="17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43</v>
      </c>
      <c r="B10" s="4" t="s">
        <v>44</v>
      </c>
      <c r="C10" s="4" t="s">
        <v>45</v>
      </c>
      <c r="D10" s="4">
        <v>500.0</v>
      </c>
      <c r="E10" s="4">
        <v>50.0</v>
      </c>
      <c r="F10" s="4" t="s">
        <v>13</v>
      </c>
      <c r="G10" s="5" t="str">
        <f t="shared" si="1"/>
        <v>High Price</v>
      </c>
      <c r="H10" s="6" t="str">
        <f t="shared" si="2"/>
        <v>05</v>
      </c>
      <c r="I10" s="6" t="str">
        <f t="shared" si="3"/>
        <v>UK</v>
      </c>
      <c r="J10" s="6" t="str">
        <f t="shared" si="4"/>
        <v>SEP</v>
      </c>
      <c r="K10" s="3"/>
      <c r="L10" s="18" t="s">
        <v>46</v>
      </c>
      <c r="M10" s="19" t="s">
        <v>47</v>
      </c>
      <c r="N10" s="17">
        <f>sum(D2:D35)</f>
        <v>10100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48</v>
      </c>
      <c r="B11" s="8" t="s">
        <v>49</v>
      </c>
      <c r="C11" s="8" t="s">
        <v>50</v>
      </c>
      <c r="D11" s="8">
        <v>130.0</v>
      </c>
      <c r="E11" s="8">
        <v>10.0</v>
      </c>
      <c r="F11" s="8" t="s">
        <v>30</v>
      </c>
      <c r="G11" s="5" t="str">
        <f t="shared" si="1"/>
        <v>Standard Price</v>
      </c>
      <c r="H11" s="6" t="str">
        <f t="shared" si="2"/>
        <v>14</v>
      </c>
      <c r="I11" s="6" t="str">
        <f t="shared" si="3"/>
        <v>UK</v>
      </c>
      <c r="J11" s="6" t="str">
        <f t="shared" si="4"/>
        <v>OCT</v>
      </c>
      <c r="K11" s="3"/>
      <c r="L11" s="18" t="s">
        <v>51</v>
      </c>
      <c r="M11" s="18" t="s">
        <v>52</v>
      </c>
      <c r="N11" s="17">
        <f>counta(B2:B35)</f>
        <v>34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53</v>
      </c>
      <c r="B12" s="4" t="s">
        <v>11</v>
      </c>
      <c r="C12" s="4" t="s">
        <v>54</v>
      </c>
      <c r="D12" s="4">
        <v>950.0</v>
      </c>
      <c r="E12" s="4">
        <v>25.0</v>
      </c>
      <c r="F12" s="4" t="s">
        <v>13</v>
      </c>
      <c r="G12" s="5" t="str">
        <f t="shared" si="1"/>
        <v>High Price</v>
      </c>
      <c r="H12" s="6" t="str">
        <f t="shared" si="2"/>
        <v>17</v>
      </c>
      <c r="I12" s="6" t="str">
        <f t="shared" si="3"/>
        <v>IN</v>
      </c>
      <c r="J12" s="6" t="str">
        <f t="shared" si="4"/>
        <v>JUN</v>
      </c>
      <c r="K12" s="3"/>
      <c r="L12" s="18" t="s">
        <v>55</v>
      </c>
      <c r="M12" s="18" t="s">
        <v>56</v>
      </c>
      <c r="N12" s="17">
        <f>average(D2:D35)</f>
        <v>297.0588235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57</v>
      </c>
      <c r="B13" s="8" t="s">
        <v>16</v>
      </c>
      <c r="C13" s="8" t="s">
        <v>36</v>
      </c>
      <c r="D13" s="8">
        <v>90.0</v>
      </c>
      <c r="E13" s="8">
        <v>40.0</v>
      </c>
      <c r="F13" s="8" t="s">
        <v>18</v>
      </c>
      <c r="G13" s="5" t="str">
        <f t="shared" si="1"/>
        <v>Standard Price</v>
      </c>
      <c r="H13" s="6" t="str">
        <f t="shared" si="2"/>
        <v>25</v>
      </c>
      <c r="I13" s="6" t="str">
        <f t="shared" si="3"/>
        <v>AU</v>
      </c>
      <c r="J13" s="6" t="str">
        <f t="shared" si="4"/>
        <v>NOV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58</v>
      </c>
      <c r="B14" s="4" t="s">
        <v>20</v>
      </c>
      <c r="C14" s="4" t="s">
        <v>59</v>
      </c>
      <c r="D14" s="4">
        <v>120.0</v>
      </c>
      <c r="E14" s="4">
        <v>35.0</v>
      </c>
      <c r="F14" s="4" t="s">
        <v>22</v>
      </c>
      <c r="G14" s="5" t="str">
        <f t="shared" si="1"/>
        <v>Standard Price</v>
      </c>
      <c r="H14" s="6" t="str">
        <f t="shared" si="2"/>
        <v>08</v>
      </c>
      <c r="I14" s="6" t="str">
        <f t="shared" si="3"/>
        <v>DE</v>
      </c>
      <c r="J14" s="6" t="str">
        <f t="shared" si="4"/>
        <v>DEC</v>
      </c>
      <c r="K14" s="3"/>
      <c r="L14" s="20" t="s">
        <v>60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61</v>
      </c>
      <c r="B15" s="8" t="s">
        <v>62</v>
      </c>
      <c r="C15" s="8" t="s">
        <v>63</v>
      </c>
      <c r="D15" s="8">
        <v>150.0</v>
      </c>
      <c r="E15" s="8">
        <v>15.0</v>
      </c>
      <c r="F15" s="8" t="s">
        <v>13</v>
      </c>
      <c r="G15" s="5" t="str">
        <f t="shared" si="1"/>
        <v>Standard Price</v>
      </c>
      <c r="H15" s="6" t="str">
        <f t="shared" si="2"/>
        <v>18</v>
      </c>
      <c r="I15" s="6" t="str">
        <f t="shared" si="3"/>
        <v>CA</v>
      </c>
      <c r="J15" s="6" t="str">
        <f t="shared" si="4"/>
        <v>FEB</v>
      </c>
      <c r="K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64</v>
      </c>
      <c r="B16" s="4" t="s">
        <v>32</v>
      </c>
      <c r="C16" s="4" t="s">
        <v>65</v>
      </c>
      <c r="D16" s="4">
        <v>250.0</v>
      </c>
      <c r="E16" s="4">
        <v>20.0</v>
      </c>
      <c r="F16" s="4" t="s">
        <v>13</v>
      </c>
      <c r="G16" s="5" t="str">
        <f t="shared" si="1"/>
        <v>Standard Price</v>
      </c>
      <c r="H16" s="6" t="str">
        <f t="shared" si="2"/>
        <v>16</v>
      </c>
      <c r="I16" s="6" t="str">
        <f t="shared" si="3"/>
        <v>ES</v>
      </c>
      <c r="J16" s="6" t="str">
        <f t="shared" si="4"/>
        <v>APR</v>
      </c>
      <c r="K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66</v>
      </c>
      <c r="B17" s="8" t="s">
        <v>67</v>
      </c>
      <c r="C17" s="8" t="s">
        <v>68</v>
      </c>
      <c r="D17" s="8">
        <v>50.0</v>
      </c>
      <c r="E17" s="8">
        <v>35.0</v>
      </c>
      <c r="F17" s="8" t="s">
        <v>69</v>
      </c>
      <c r="G17" s="5" t="str">
        <f t="shared" si="1"/>
        <v>Standard Price</v>
      </c>
      <c r="H17" s="6" t="str">
        <f t="shared" si="2"/>
        <v>21</v>
      </c>
      <c r="I17" s="6" t="str">
        <f t="shared" si="3"/>
        <v>CA</v>
      </c>
      <c r="J17" s="6" t="str">
        <f t="shared" si="4"/>
        <v>AUG</v>
      </c>
      <c r="K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70</v>
      </c>
      <c r="B18" s="4" t="s">
        <v>62</v>
      </c>
      <c r="C18" s="4" t="s">
        <v>71</v>
      </c>
      <c r="D18" s="4">
        <v>160.0</v>
      </c>
      <c r="E18" s="4">
        <v>15.0</v>
      </c>
      <c r="F18" s="4" t="s">
        <v>13</v>
      </c>
      <c r="G18" s="5" t="str">
        <f t="shared" si="1"/>
        <v>Standard Price</v>
      </c>
      <c r="H18" s="6" t="str">
        <f t="shared" si="2"/>
        <v>20</v>
      </c>
      <c r="I18" s="6" t="str">
        <f t="shared" si="3"/>
        <v>CN</v>
      </c>
      <c r="J18" s="6" t="str">
        <f t="shared" si="4"/>
        <v>AUG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72</v>
      </c>
      <c r="B19" s="8" t="s">
        <v>11</v>
      </c>
      <c r="C19" s="8" t="s">
        <v>73</v>
      </c>
      <c r="D19" s="8">
        <v>980.0</v>
      </c>
      <c r="E19" s="8">
        <v>10.0</v>
      </c>
      <c r="F19" s="8" t="s">
        <v>13</v>
      </c>
      <c r="G19" s="5" t="str">
        <f t="shared" si="1"/>
        <v>High Price</v>
      </c>
      <c r="H19" s="6" t="str">
        <f t="shared" si="2"/>
        <v>27</v>
      </c>
      <c r="I19" s="6" t="str">
        <f t="shared" si="3"/>
        <v>IT</v>
      </c>
      <c r="J19" s="6" t="str">
        <f t="shared" si="4"/>
        <v>JAN</v>
      </c>
      <c r="K19" s="3"/>
      <c r="L19" s="9" t="s">
        <v>74</v>
      </c>
      <c r="M19" s="10"/>
      <c r="N19" s="1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75</v>
      </c>
      <c r="B20" s="4" t="s">
        <v>76</v>
      </c>
      <c r="C20" s="4" t="s">
        <v>77</v>
      </c>
      <c r="D20" s="4">
        <v>150.0</v>
      </c>
      <c r="E20" s="4">
        <v>15.0</v>
      </c>
      <c r="F20" s="4" t="s">
        <v>18</v>
      </c>
      <c r="G20" s="5" t="str">
        <f t="shared" si="1"/>
        <v>Standard Price</v>
      </c>
      <c r="H20" s="6" t="str">
        <f t="shared" si="2"/>
        <v>01</v>
      </c>
      <c r="I20" s="6" t="str">
        <f t="shared" si="3"/>
        <v>UK</v>
      </c>
      <c r="J20" s="6" t="str">
        <f t="shared" si="4"/>
        <v>MAR</v>
      </c>
      <c r="K20" s="3"/>
      <c r="L20" s="12"/>
      <c r="M20" s="13"/>
      <c r="N20" s="1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78</v>
      </c>
      <c r="B21" s="8" t="s">
        <v>79</v>
      </c>
      <c r="C21" s="8" t="s">
        <v>80</v>
      </c>
      <c r="D21" s="8">
        <v>200.0</v>
      </c>
      <c r="E21" s="8">
        <v>10.0</v>
      </c>
      <c r="F21" s="8" t="s">
        <v>30</v>
      </c>
      <c r="G21" s="5" t="str">
        <f t="shared" si="1"/>
        <v>Standard Price</v>
      </c>
      <c r="H21" s="6" t="str">
        <f t="shared" si="2"/>
        <v>14</v>
      </c>
      <c r="I21" s="6" t="str">
        <f t="shared" si="3"/>
        <v>US</v>
      </c>
      <c r="J21" s="6" t="str">
        <f t="shared" si="4"/>
        <v>AUG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81</v>
      </c>
      <c r="B22" s="4" t="s">
        <v>82</v>
      </c>
      <c r="C22" s="4" t="s">
        <v>83</v>
      </c>
      <c r="D22" s="4">
        <v>700.0</v>
      </c>
      <c r="E22" s="4">
        <v>50.0</v>
      </c>
      <c r="F22" s="4" t="s">
        <v>13</v>
      </c>
      <c r="G22" s="5" t="str">
        <f t="shared" si="1"/>
        <v>High Price</v>
      </c>
      <c r="H22" s="6" t="str">
        <f t="shared" si="2"/>
        <v>14</v>
      </c>
      <c r="I22" s="6" t="str">
        <f t="shared" si="3"/>
        <v>RU</v>
      </c>
      <c r="J22" s="6" t="str">
        <f t="shared" si="4"/>
        <v>MAY</v>
      </c>
      <c r="K22" s="3"/>
      <c r="L22" s="15" t="s">
        <v>37</v>
      </c>
      <c r="M22" s="15" t="s">
        <v>38</v>
      </c>
      <c r="N22" s="15" t="s">
        <v>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84</v>
      </c>
      <c r="B23" s="8" t="s">
        <v>85</v>
      </c>
      <c r="C23" s="8" t="s">
        <v>86</v>
      </c>
      <c r="D23" s="8">
        <v>80.0</v>
      </c>
      <c r="E23" s="8">
        <v>20.0</v>
      </c>
      <c r="F23" s="8" t="s">
        <v>22</v>
      </c>
      <c r="G23" s="5" t="str">
        <f t="shared" si="1"/>
        <v>Standard Price</v>
      </c>
      <c r="H23" s="6" t="str">
        <f t="shared" si="2"/>
        <v>09</v>
      </c>
      <c r="I23" s="6" t="str">
        <f t="shared" si="3"/>
        <v>CA</v>
      </c>
      <c r="J23" s="6" t="str">
        <f t="shared" si="4"/>
        <v>JAN</v>
      </c>
      <c r="K23" s="3"/>
      <c r="L23" s="21" t="s">
        <v>87</v>
      </c>
      <c r="M23" s="21" t="s">
        <v>88</v>
      </c>
      <c r="N23" s="17">
        <f>min(D2:D35)</f>
        <v>30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89</v>
      </c>
      <c r="B24" s="4" t="s">
        <v>90</v>
      </c>
      <c r="C24" s="4" t="s">
        <v>91</v>
      </c>
      <c r="D24" s="4">
        <v>150.0</v>
      </c>
      <c r="E24" s="4">
        <v>30.0</v>
      </c>
      <c r="F24" s="4" t="s">
        <v>13</v>
      </c>
      <c r="G24" s="5" t="str">
        <f t="shared" si="1"/>
        <v>Standard Price</v>
      </c>
      <c r="H24" s="6" t="str">
        <f t="shared" si="2"/>
        <v>19</v>
      </c>
      <c r="I24" s="6" t="str">
        <f t="shared" si="3"/>
        <v>BR</v>
      </c>
      <c r="J24" s="6" t="str">
        <f t="shared" si="4"/>
        <v>JUL</v>
      </c>
      <c r="K24" s="3"/>
      <c r="L24" s="18" t="s">
        <v>92</v>
      </c>
      <c r="M24" s="18" t="s">
        <v>93</v>
      </c>
      <c r="N24" s="17">
        <f>max(D2:D35)</f>
        <v>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66</v>
      </c>
      <c r="B25" s="8" t="s">
        <v>67</v>
      </c>
      <c r="C25" s="8" t="s">
        <v>68</v>
      </c>
      <c r="D25" s="8">
        <v>50.0</v>
      </c>
      <c r="E25" s="8">
        <v>35.0</v>
      </c>
      <c r="F25" s="8" t="s">
        <v>69</v>
      </c>
      <c r="G25" s="5" t="str">
        <f t="shared" si="1"/>
        <v>Standard Price</v>
      </c>
      <c r="H25" s="6" t="str">
        <f t="shared" si="2"/>
        <v>21</v>
      </c>
      <c r="I25" s="6" t="str">
        <f t="shared" si="3"/>
        <v>CA</v>
      </c>
      <c r="J25" s="6" t="str">
        <f t="shared" si="4"/>
        <v>AUG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94</v>
      </c>
      <c r="B26" s="4" t="s">
        <v>24</v>
      </c>
      <c r="C26" s="4" t="s">
        <v>95</v>
      </c>
      <c r="D26" s="4">
        <v>800.0</v>
      </c>
      <c r="E26" s="4">
        <v>45.0</v>
      </c>
      <c r="F26" s="4" t="s">
        <v>13</v>
      </c>
      <c r="G26" s="5" t="str">
        <f t="shared" si="1"/>
        <v>High Price</v>
      </c>
      <c r="H26" s="6" t="str">
        <f t="shared" si="2"/>
        <v>29</v>
      </c>
      <c r="I26" s="6" t="str">
        <f t="shared" si="3"/>
        <v>CA</v>
      </c>
      <c r="J26" s="6" t="str">
        <f t="shared" si="4"/>
        <v>SEP</v>
      </c>
      <c r="K26" s="3"/>
      <c r="L26" s="9" t="s">
        <v>96</v>
      </c>
      <c r="M26" s="10"/>
      <c r="N26" s="1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97</v>
      </c>
      <c r="B27" s="8" t="s">
        <v>76</v>
      </c>
      <c r="C27" s="8" t="s">
        <v>98</v>
      </c>
      <c r="D27" s="8">
        <v>130.0</v>
      </c>
      <c r="E27" s="8">
        <v>25.0</v>
      </c>
      <c r="F27" s="8" t="s">
        <v>18</v>
      </c>
      <c r="G27" s="5" t="str">
        <f t="shared" si="1"/>
        <v>Standard Price</v>
      </c>
      <c r="H27" s="6" t="str">
        <f t="shared" si="2"/>
        <v>03</v>
      </c>
      <c r="I27" s="6" t="str">
        <f t="shared" si="3"/>
        <v>CA</v>
      </c>
      <c r="J27" s="6" t="str">
        <f t="shared" si="4"/>
        <v>JUN</v>
      </c>
      <c r="K27" s="3"/>
      <c r="L27" s="12"/>
      <c r="M27" s="13"/>
      <c r="N27" s="14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99</v>
      </c>
      <c r="B28" s="4" t="s">
        <v>41</v>
      </c>
      <c r="C28" s="4" t="s">
        <v>100</v>
      </c>
      <c r="D28" s="4">
        <v>400.0</v>
      </c>
      <c r="E28" s="4">
        <v>40.0</v>
      </c>
      <c r="F28" s="4" t="s">
        <v>22</v>
      </c>
      <c r="G28" s="5" t="str">
        <f t="shared" si="1"/>
        <v>Standard Price</v>
      </c>
      <c r="H28" s="6" t="str">
        <f t="shared" si="2"/>
        <v>11</v>
      </c>
      <c r="I28" s="6" t="str">
        <f t="shared" si="3"/>
        <v>CA</v>
      </c>
      <c r="J28" s="6" t="str">
        <f t="shared" si="4"/>
        <v>JUL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64</v>
      </c>
      <c r="B29" s="8" t="s">
        <v>32</v>
      </c>
      <c r="C29" s="8" t="s">
        <v>65</v>
      </c>
      <c r="D29" s="8">
        <v>230.0</v>
      </c>
      <c r="E29" s="8">
        <v>20.0</v>
      </c>
      <c r="F29" s="8" t="s">
        <v>13</v>
      </c>
      <c r="G29" s="5" t="str">
        <f t="shared" si="1"/>
        <v>Standard Price</v>
      </c>
      <c r="H29" s="6" t="str">
        <f t="shared" si="2"/>
        <v>16</v>
      </c>
      <c r="I29" s="6" t="str">
        <f t="shared" si="3"/>
        <v>ES</v>
      </c>
      <c r="J29" s="6" t="str">
        <f t="shared" si="4"/>
        <v>APR</v>
      </c>
      <c r="K29" s="3"/>
      <c r="L29" s="22" t="s">
        <v>101</v>
      </c>
      <c r="M29" s="23"/>
      <c r="N29" s="2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102</v>
      </c>
      <c r="B30" s="4" t="s">
        <v>103</v>
      </c>
      <c r="C30" s="4" t="s">
        <v>104</v>
      </c>
      <c r="D30" s="4">
        <v>60.0</v>
      </c>
      <c r="E30" s="4">
        <v>30.0</v>
      </c>
      <c r="F30" s="4" t="s">
        <v>18</v>
      </c>
      <c r="G30" s="5" t="str">
        <f t="shared" si="1"/>
        <v>Standard Price</v>
      </c>
      <c r="H30" s="6" t="str">
        <f t="shared" si="2"/>
        <v>07</v>
      </c>
      <c r="I30" s="6" t="str">
        <f t="shared" si="3"/>
        <v>CA</v>
      </c>
      <c r="J30" s="6" t="str">
        <f t="shared" si="4"/>
        <v>MAR</v>
      </c>
      <c r="K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 t="s">
        <v>105</v>
      </c>
      <c r="B31" s="8" t="s">
        <v>106</v>
      </c>
      <c r="C31" s="8" t="s">
        <v>107</v>
      </c>
      <c r="D31" s="8">
        <v>40.0</v>
      </c>
      <c r="E31" s="8">
        <v>10.0</v>
      </c>
      <c r="F31" s="8" t="s">
        <v>22</v>
      </c>
      <c r="G31" s="5" t="str">
        <f t="shared" si="1"/>
        <v>Standard Price</v>
      </c>
      <c r="H31" s="6" t="str">
        <f t="shared" si="2"/>
        <v>13</v>
      </c>
      <c r="I31" s="6" t="str">
        <f t="shared" si="3"/>
        <v>CA</v>
      </c>
      <c r="J31" s="6" t="str">
        <f t="shared" si="4"/>
        <v>APR</v>
      </c>
      <c r="K31" s="3"/>
      <c r="L31" s="9" t="s">
        <v>108</v>
      </c>
      <c r="M31" s="10"/>
      <c r="N31" s="1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109</v>
      </c>
      <c r="B32" s="4" t="s">
        <v>90</v>
      </c>
      <c r="C32" s="4" t="s">
        <v>110</v>
      </c>
      <c r="D32" s="4">
        <v>130.0</v>
      </c>
      <c r="E32" s="4">
        <v>5.0</v>
      </c>
      <c r="F32" s="4" t="s">
        <v>13</v>
      </c>
      <c r="G32" s="5" t="str">
        <f t="shared" si="1"/>
        <v>Standard Price</v>
      </c>
      <c r="H32" s="6" t="str">
        <f t="shared" si="2"/>
        <v>24</v>
      </c>
      <c r="I32" s="6" t="str">
        <f t="shared" si="3"/>
        <v>CA</v>
      </c>
      <c r="J32" s="6" t="str">
        <f t="shared" si="4"/>
        <v>MAY</v>
      </c>
      <c r="K32" s="3"/>
      <c r="L32" s="12"/>
      <c r="M32" s="13"/>
      <c r="N32" s="1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111</v>
      </c>
      <c r="B33" s="8" t="s">
        <v>112</v>
      </c>
      <c r="C33" s="8" t="s">
        <v>113</v>
      </c>
      <c r="D33" s="8">
        <v>50.0</v>
      </c>
      <c r="E33" s="8">
        <v>50.0</v>
      </c>
      <c r="F33" s="8" t="s">
        <v>18</v>
      </c>
      <c r="G33" s="5" t="str">
        <f t="shared" si="1"/>
        <v>Standard Price</v>
      </c>
      <c r="H33" s="6" t="str">
        <f t="shared" si="2"/>
        <v>02</v>
      </c>
      <c r="I33" s="6" t="str">
        <f t="shared" si="3"/>
        <v>CA</v>
      </c>
      <c r="J33" s="6" t="str">
        <f t="shared" si="4"/>
        <v>DEC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53</v>
      </c>
      <c r="B34" s="4" t="s">
        <v>11</v>
      </c>
      <c r="C34" s="4" t="s">
        <v>54</v>
      </c>
      <c r="D34" s="4">
        <v>950.0</v>
      </c>
      <c r="E34" s="4">
        <v>25.0</v>
      </c>
      <c r="F34" s="4" t="s">
        <v>13</v>
      </c>
      <c r="G34" s="5" t="str">
        <f t="shared" si="1"/>
        <v>High Price</v>
      </c>
      <c r="H34" s="6" t="str">
        <f t="shared" si="2"/>
        <v>17</v>
      </c>
      <c r="I34" s="6" t="str">
        <f t="shared" si="3"/>
        <v>IN</v>
      </c>
      <c r="J34" s="6" t="str">
        <f t="shared" si="4"/>
        <v>JUN</v>
      </c>
      <c r="K34" s="3"/>
      <c r="L34" s="15" t="s">
        <v>37</v>
      </c>
      <c r="M34" s="15" t="s">
        <v>38</v>
      </c>
      <c r="N34" s="15" t="s">
        <v>39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114</v>
      </c>
      <c r="B35" s="8" t="s">
        <v>115</v>
      </c>
      <c r="C35" s="8" t="s">
        <v>116</v>
      </c>
      <c r="D35" s="8">
        <v>100.0</v>
      </c>
      <c r="E35" s="8">
        <v>20.0</v>
      </c>
      <c r="F35" s="8" t="s">
        <v>69</v>
      </c>
      <c r="G35" s="5" t="str">
        <f t="shared" si="1"/>
        <v>Standard Price</v>
      </c>
      <c r="H35" s="6" t="str">
        <f t="shared" si="2"/>
        <v>09</v>
      </c>
      <c r="I35" s="6" t="str">
        <f t="shared" si="3"/>
        <v>FR</v>
      </c>
      <c r="J35" s="6" t="str">
        <f t="shared" si="4"/>
        <v>JUL</v>
      </c>
      <c r="K35" s="3"/>
      <c r="L35" s="25" t="s">
        <v>117</v>
      </c>
      <c r="M35" s="21" t="s">
        <v>118</v>
      </c>
      <c r="N35" s="17">
        <f>sumif(F2:F35,"Electronics",D2:D35)</f>
        <v>8050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25" t="s">
        <v>119</v>
      </c>
      <c r="M36" s="18" t="s">
        <v>120</v>
      </c>
      <c r="N36" s="17">
        <f>countif(D2:D35,"&lt;100")</f>
        <v>11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9" t="s">
        <v>121</v>
      </c>
      <c r="M38" s="10"/>
      <c r="N38" s="1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12"/>
      <c r="M39" s="13"/>
      <c r="N39" s="1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26" t="s">
        <v>122</v>
      </c>
      <c r="M41" s="10"/>
      <c r="N41" s="1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27"/>
      <c r="N42" s="28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12"/>
      <c r="M43" s="13"/>
      <c r="N43" s="14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L38:N39"/>
    <mergeCell ref="L41:N43"/>
    <mergeCell ref="L2:N3"/>
    <mergeCell ref="L5:N6"/>
    <mergeCell ref="L14:N17"/>
    <mergeCell ref="L19:N20"/>
    <mergeCell ref="L26:N27"/>
    <mergeCell ref="L29:N29"/>
    <mergeCell ref="L31:N3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